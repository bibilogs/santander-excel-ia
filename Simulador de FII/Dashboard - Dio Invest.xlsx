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33596b5c7488a/Documentos/Faculdade/Exercícios dos Cursos/Excel/Santander Excel com IA/Simulador de FII/"/>
    </mc:Choice>
  </mc:AlternateContent>
  <xr:revisionPtr revIDLastSave="1" documentId="8_{D858DFA3-EA81-4E07-B4A1-DBC2884ABB37}" xr6:coauthVersionLast="47" xr6:coauthVersionMax="47" xr10:uidLastSave="{D7E93A08-9881-4F3E-AC2F-56EFCB9A9DC2}"/>
  <bookViews>
    <workbookView xWindow="-120" yWindow="-120" windowWidth="20730" windowHeight="11040" activeTab="2" xr2:uid="{24DEB6D7-0C92-44FB-8B49-78A883465D0F}"/>
  </bookViews>
  <sheets>
    <sheet name="Dashboard" sheetId="1" r:id="rId1"/>
    <sheet name="Cenários" sheetId="2" r:id="rId2"/>
    <sheet name="FII" sheetId="3" r:id="rId3"/>
  </sheets>
  <definedNames>
    <definedName name="anos_investimento">Dashboard!$D$14</definedName>
    <definedName name="aporte">Dashboard!$D$13</definedName>
    <definedName name="patrimonio">Dashboard!$D$16</definedName>
    <definedName name="salario">Dashboard!$D$8</definedName>
    <definedName name="taxa_mensal">Dashboard!$D$15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4" i="1"/>
  <c r="C25" i="1"/>
  <c r="C26" i="1"/>
  <c r="C27" i="1"/>
  <c r="C28" i="1"/>
  <c r="C23" i="1"/>
  <c r="D23" i="1" l="1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D24" i="1"/>
  <c r="D25" i="1"/>
  <c r="D26" i="1"/>
  <c r="D27" i="1"/>
  <c r="D28" i="1"/>
  <c r="C13" i="2"/>
  <c r="D13" i="2" s="1"/>
  <c r="C18" i="2"/>
  <c r="D18" i="2" s="1"/>
  <c r="C17" i="2"/>
  <c r="D17" i="2" s="1"/>
  <c r="C16" i="2"/>
  <c r="D16" i="2" s="1"/>
  <c r="C15" i="2"/>
  <c r="D15" i="2" s="1"/>
  <c r="C14" i="2"/>
  <c r="D14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D9" i="1"/>
  <c r="D29" i="1" l="1"/>
  <c r="D16" i="1"/>
  <c r="D17" i="1" s="1"/>
</calcChain>
</file>

<file path=xl/sharedStrings.xml><?xml version="1.0" encoding="utf-8"?>
<sst xmlns="http://schemas.openxmlformats.org/spreadsheetml/2006/main" count="83" uniqueCount="48">
  <si>
    <t>Investimento Mensal</t>
  </si>
  <si>
    <t>Patrimônio Acumulado</t>
  </si>
  <si>
    <t>Dividendos Mensais</t>
  </si>
  <si>
    <t>1 ano</t>
  </si>
  <si>
    <t>2 anos</t>
  </si>
  <si>
    <t>Projeção de Cenários</t>
  </si>
  <si>
    <t>3 anos</t>
  </si>
  <si>
    <t>5 anos</t>
  </si>
  <si>
    <t>7 anos</t>
  </si>
  <si>
    <t>10 anos</t>
  </si>
  <si>
    <t>12 anos</t>
  </si>
  <si>
    <t>15 anos</t>
  </si>
  <si>
    <t>18 anos</t>
  </si>
  <si>
    <t>20 anos</t>
  </si>
  <si>
    <t>25 anos</t>
  </si>
  <si>
    <t>30 anos</t>
  </si>
  <si>
    <t>35 anos</t>
  </si>
  <si>
    <t>40 anos</t>
  </si>
  <si>
    <t>45 anos</t>
  </si>
  <si>
    <t>50 anos</t>
  </si>
  <si>
    <t>Dividendo</t>
  </si>
  <si>
    <t>Taxa de Rendimento Mensal</t>
  </si>
  <si>
    <t>Quantidade de Anos</t>
  </si>
  <si>
    <r>
      <rPr>
        <b/>
        <sz val="18"/>
        <color theme="6" tint="0.39997558519241921"/>
        <rFont val="Helvetica"/>
      </rPr>
      <t>DIO</t>
    </r>
    <r>
      <rPr>
        <b/>
        <sz val="18"/>
        <color theme="0"/>
        <rFont val="Helvetica"/>
      </rPr>
      <t>Invest</t>
    </r>
    <r>
      <rPr>
        <b/>
        <sz val="20"/>
        <color theme="1"/>
        <rFont val="Helvetica"/>
      </rPr>
      <t xml:space="preserve">   </t>
    </r>
    <r>
      <rPr>
        <sz val="28"/>
        <color theme="6" tint="0.39997558519241921"/>
        <rFont val="Helvetica"/>
      </rPr>
      <t>|</t>
    </r>
    <r>
      <rPr>
        <b/>
        <sz val="20"/>
        <color theme="6" tint="0.39997558519241921"/>
        <rFont val="Helvetica"/>
      </rPr>
      <t xml:space="preserve"> </t>
    </r>
    <r>
      <rPr>
        <b/>
        <sz val="20"/>
        <color theme="1"/>
        <rFont val="Helvetica"/>
      </rPr>
      <t xml:space="preserve">  </t>
    </r>
    <r>
      <rPr>
        <b/>
        <sz val="16"/>
        <color theme="0"/>
        <rFont val="Helvetica"/>
      </rPr>
      <t>Carteira de Investimento</t>
    </r>
  </si>
  <si>
    <t>Carteira</t>
  </si>
  <si>
    <t>Salário</t>
  </si>
  <si>
    <t>Projeções</t>
  </si>
  <si>
    <t>Sugestão de Investimento (30%)</t>
  </si>
  <si>
    <t>Perfil</t>
  </si>
  <si>
    <t>Aporte</t>
  </si>
  <si>
    <t>Tipo de FII</t>
  </si>
  <si>
    <t>Percentual Sugerido</t>
  </si>
  <si>
    <t>Valores</t>
  </si>
  <si>
    <t>Papel</t>
  </si>
  <si>
    <t>Tijolo</t>
  </si>
  <si>
    <t>Desenvolvimento</t>
  </si>
  <si>
    <t>FOFs</t>
  </si>
  <si>
    <t>Híbridos</t>
  </si>
  <si>
    <t>CHAVE</t>
  </si>
  <si>
    <t>PERFIL</t>
  </si>
  <si>
    <t>TIPO DE FII</t>
  </si>
  <si>
    <t>%</t>
  </si>
  <si>
    <t>Conservador</t>
  </si>
  <si>
    <t>Moderado</t>
  </si>
  <si>
    <t>Agressivo</t>
  </si>
  <si>
    <t>Hotelarias</t>
  </si>
  <si>
    <t>Fundos de Investimentos Imobiliários</t>
  </si>
  <si>
    <t>Valor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</si>
</sst>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 x14ac:knownFonts="1">
    <font>
      <sz val="11"/>
      <color theme="1"/>
      <name val="Aptos Narrow"/>
      <family val="2"/>
      <scheme val="minor"/>
    </font>
    <font>
      <b/>
      <sz val="18"/>
      <color theme="0"/>
      <name val="Helvetica"/>
    </font>
    <font>
      <b/>
      <sz val="16"/>
      <color theme="0"/>
      <name val="Helvetica"/>
    </font>
    <font>
      <b/>
      <sz val="12"/>
      <color theme="1"/>
      <name val="Helvetica"/>
    </font>
    <font>
      <b/>
      <sz val="14"/>
      <color theme="0"/>
      <name val="Helvetica"/>
    </font>
    <font>
      <b/>
      <sz val="18"/>
      <color theme="6" tint="0.39997558519241921"/>
      <name val="Helvetica"/>
    </font>
    <font>
      <b/>
      <sz val="20"/>
      <color theme="1"/>
      <name val="Helvetica"/>
    </font>
    <font>
      <b/>
      <sz val="20"/>
      <color theme="6" tint="0.39997558519241921"/>
      <name val="Helvetica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6" tint="0.39997558519241921"/>
      <name val="Helvetica"/>
    </font>
    <font>
      <sz val="11"/>
      <color theme="1"/>
      <name val="Helvetica"/>
    </font>
    <font>
      <sz val="12"/>
      <color theme="1"/>
      <name val="Helvetica"/>
    </font>
    <font>
      <sz val="11"/>
      <color theme="1"/>
      <name val="Aptos Narrow"/>
      <family val="2"/>
      <scheme val="minor"/>
    </font>
    <font>
      <b/>
      <sz val="12"/>
      <color theme="0"/>
      <name val="Helvetica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/>
      <bottom style="thin">
        <color theme="1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1"/>
      </left>
      <right/>
      <top style="thin">
        <color theme="2" tint="-9.9978637043366805E-2"/>
      </top>
      <bottom/>
      <diagonal/>
    </border>
    <border>
      <left style="thin">
        <color theme="1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2" tint="-9.9978637043366805E-2"/>
      </bottom>
      <diagonal/>
    </border>
    <border>
      <left style="thin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2" tint="-9.9978637043366805E-2"/>
      </bottom>
      <diagonal/>
    </border>
    <border>
      <left/>
      <right style="thin">
        <color theme="1"/>
      </right>
      <top style="thin">
        <color theme="2" tint="-9.9978637043366805E-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2" tint="-0.249977111117893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2" tint="-0.249977111117893"/>
      </bottom>
      <diagonal/>
    </border>
    <border>
      <left style="thin">
        <color theme="1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1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2" tint="-0.249977111117893"/>
      </top>
      <bottom style="thin">
        <color theme="1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 style="thin">
        <color theme="2" tint="-0.249977111117893"/>
      </bottom>
      <diagonal/>
    </border>
    <border>
      <left style="thin">
        <color theme="1"/>
      </left>
      <right style="thin">
        <color theme="2" tint="-0.249977111117893"/>
      </right>
      <top style="thin">
        <color theme="1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1"/>
      </top>
      <bottom style="thin">
        <color theme="1"/>
      </bottom>
      <diagonal/>
    </border>
    <border>
      <left style="thin">
        <color theme="2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44" fontId="9" fillId="0" borderId="17" xfId="0" applyNumberFormat="1" applyFont="1" applyBorder="1" applyAlignment="1">
      <alignment horizontal="right" vertical="center"/>
    </xf>
    <xf numFmtId="44" fontId="9" fillId="0" borderId="18" xfId="0" applyNumberFormat="1" applyFont="1" applyBorder="1" applyAlignment="1">
      <alignment horizontal="right" vertical="center"/>
    </xf>
    <xf numFmtId="44" fontId="0" fillId="0" borderId="21" xfId="0" applyNumberFormat="1" applyBorder="1"/>
    <xf numFmtId="0" fontId="4" fillId="6" borderId="1" xfId="0" applyFont="1" applyFill="1" applyBorder="1" applyAlignment="1">
      <alignment horizontal="center" vertical="center"/>
    </xf>
    <xf numFmtId="44" fontId="0" fillId="0" borderId="26" xfId="0" applyNumberFormat="1" applyBorder="1"/>
    <xf numFmtId="44" fontId="0" fillId="0" borderId="27" xfId="0" applyNumberFormat="1" applyBorder="1"/>
    <xf numFmtId="44" fontId="9" fillId="0" borderId="25" xfId="0" applyNumberFormat="1" applyFont="1" applyBorder="1" applyAlignment="1">
      <alignment horizontal="right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2" fillId="2" borderId="0" xfId="0" applyFont="1" applyFill="1"/>
    <xf numFmtId="0" fontId="12" fillId="0" borderId="0" xfId="0" applyFont="1"/>
    <xf numFmtId="44" fontId="13" fillId="0" borderId="10" xfId="0" applyNumberFormat="1" applyFont="1" applyBorder="1" applyAlignment="1">
      <alignment horizontal="right" vertical="center"/>
    </xf>
    <xf numFmtId="44" fontId="13" fillId="0" borderId="8" xfId="0" applyNumberFormat="1" applyFont="1" applyBorder="1" applyAlignment="1">
      <alignment horizontal="right" vertical="center"/>
    </xf>
    <xf numFmtId="10" fontId="13" fillId="3" borderId="12" xfId="0" applyNumberFormat="1" applyFont="1" applyFill="1" applyBorder="1" applyAlignment="1">
      <alignment horizontal="right" vertical="center"/>
    </xf>
    <xf numFmtId="1" fontId="13" fillId="0" borderId="8" xfId="0" applyNumberFormat="1" applyFont="1" applyBorder="1" applyAlignment="1">
      <alignment horizontal="right" vertical="center"/>
    </xf>
    <xf numFmtId="44" fontId="3" fillId="5" borderId="8" xfId="0" applyNumberFormat="1" applyFont="1" applyFill="1" applyBorder="1" applyAlignment="1">
      <alignment horizontal="right" vertical="center"/>
    </xf>
    <xf numFmtId="44" fontId="3" fillId="5" borderId="11" xfId="0" applyNumberFormat="1" applyFont="1" applyFill="1" applyBorder="1" applyAlignment="1">
      <alignment horizontal="right" vertical="center"/>
    </xf>
    <xf numFmtId="10" fontId="13" fillId="0" borderId="9" xfId="0" applyNumberFormat="1" applyFont="1" applyBorder="1" applyAlignment="1">
      <alignment horizontal="right" vertical="center"/>
    </xf>
    <xf numFmtId="0" fontId="12" fillId="8" borderId="3" xfId="0" applyFont="1" applyFill="1" applyBorder="1"/>
    <xf numFmtId="0" fontId="12" fillId="8" borderId="4" xfId="0" applyFont="1" applyFill="1" applyBorder="1"/>
    <xf numFmtId="0" fontId="13" fillId="0" borderId="0" xfId="0" applyFont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9" fontId="13" fillId="0" borderId="4" xfId="0" applyNumberFormat="1" applyFont="1" applyBorder="1" applyAlignment="1">
      <alignment horizontal="center" vertical="center"/>
    </xf>
    <xf numFmtId="0" fontId="13" fillId="0" borderId="38" xfId="0" applyFont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9" fontId="13" fillId="0" borderId="39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9" fontId="13" fillId="0" borderId="6" xfId="0" applyNumberFormat="1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left" vertical="center" indent="1"/>
    </xf>
    <xf numFmtId="0" fontId="13" fillId="3" borderId="34" xfId="0" applyFont="1" applyFill="1" applyBorder="1" applyAlignment="1">
      <alignment horizontal="left" vertical="center" indent="1"/>
    </xf>
    <xf numFmtId="0" fontId="13" fillId="3" borderId="31" xfId="0" applyFont="1" applyFill="1" applyBorder="1" applyAlignment="1">
      <alignment horizontal="left" vertical="center" indent="1"/>
    </xf>
    <xf numFmtId="0" fontId="13" fillId="3" borderId="7" xfId="0" applyFont="1" applyFill="1" applyBorder="1" applyAlignment="1">
      <alignment horizontal="left" vertical="center" indent="1"/>
    </xf>
    <xf numFmtId="0" fontId="3" fillId="5" borderId="31" xfId="0" applyFont="1" applyFill="1" applyBorder="1" applyAlignment="1">
      <alignment horizontal="left" vertical="center" indent="1"/>
    </xf>
    <xf numFmtId="0" fontId="3" fillId="5" borderId="7" xfId="0" applyFont="1" applyFill="1" applyBorder="1" applyAlignment="1">
      <alignment horizontal="left" vertical="center" indent="1"/>
    </xf>
    <xf numFmtId="0" fontId="3" fillId="5" borderId="35" xfId="0" applyFont="1" applyFill="1" applyBorder="1" applyAlignment="1">
      <alignment horizontal="left" vertical="center" indent="1"/>
    </xf>
    <xf numFmtId="0" fontId="3" fillId="5" borderId="36" xfId="0" applyFont="1" applyFill="1" applyBorder="1" applyAlignment="1">
      <alignment horizontal="left" vertical="center" indent="1"/>
    </xf>
    <xf numFmtId="0" fontId="4" fillId="6" borderId="28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left" vertical="center" indent="1"/>
    </xf>
    <xf numFmtId="0" fontId="13" fillId="3" borderId="32" xfId="0" applyFont="1" applyFill="1" applyBorder="1" applyAlignment="1">
      <alignment horizontal="left" vertical="center" indent="1"/>
    </xf>
    <xf numFmtId="0" fontId="13" fillId="3" borderId="5" xfId="0" applyFont="1" applyFill="1" applyBorder="1" applyAlignment="1">
      <alignment horizontal="left" vertical="center" indent="1"/>
    </xf>
    <xf numFmtId="0" fontId="13" fillId="3" borderId="29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4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5" fillId="10" borderId="14" xfId="0" applyFont="1" applyFill="1" applyBorder="1" applyAlignment="1">
      <alignment horizontal="center" vertical="center"/>
    </xf>
    <xf numFmtId="0" fontId="12" fillId="8" borderId="0" xfId="0" applyFont="1" applyFill="1" applyBorder="1"/>
    <xf numFmtId="0" fontId="3" fillId="9" borderId="30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center" vertical="center"/>
    </xf>
    <xf numFmtId="44" fontId="13" fillId="3" borderId="10" xfId="0" applyNumberFormat="1" applyFont="1" applyFill="1" applyBorder="1" applyAlignment="1">
      <alignment horizontal="right" vertical="center"/>
    </xf>
    <xf numFmtId="0" fontId="13" fillId="3" borderId="48" xfId="0" applyFont="1" applyFill="1" applyBorder="1" applyAlignment="1">
      <alignment horizontal="left" vertical="center" indent="1"/>
    </xf>
    <xf numFmtId="0" fontId="13" fillId="3" borderId="42" xfId="0" applyFont="1" applyFill="1" applyBorder="1" applyAlignment="1">
      <alignment horizontal="left" vertical="center"/>
    </xf>
    <xf numFmtId="9" fontId="12" fillId="0" borderId="45" xfId="1" applyFont="1" applyBorder="1" applyAlignment="1">
      <alignment vertical="center"/>
    </xf>
    <xf numFmtId="44" fontId="12" fillId="0" borderId="40" xfId="0" applyNumberFormat="1" applyFont="1" applyBorder="1" applyAlignment="1">
      <alignment vertical="center"/>
    </xf>
    <xf numFmtId="0" fontId="13" fillId="3" borderId="46" xfId="0" applyFont="1" applyFill="1" applyBorder="1" applyAlignment="1">
      <alignment horizontal="left" vertical="center"/>
    </xf>
    <xf numFmtId="9" fontId="12" fillId="0" borderId="41" xfId="1" applyFont="1" applyBorder="1" applyAlignment="1">
      <alignment vertical="center"/>
    </xf>
    <xf numFmtId="44" fontId="12" fillId="0" borderId="47" xfId="0" applyNumberFormat="1" applyFont="1" applyBorder="1" applyAlignment="1">
      <alignment vertical="center"/>
    </xf>
    <xf numFmtId="0" fontId="13" fillId="3" borderId="43" xfId="0" applyFont="1" applyFill="1" applyBorder="1" applyAlignment="1">
      <alignment horizontal="left" vertical="center"/>
    </xf>
    <xf numFmtId="9" fontId="12" fillId="0" borderId="44" xfId="1" applyFont="1" applyBorder="1" applyAlignment="1">
      <alignment vertical="center"/>
    </xf>
    <xf numFmtId="44" fontId="12" fillId="0" borderId="4" xfId="0" applyNumberFormat="1" applyFont="1" applyBorder="1" applyAlignment="1">
      <alignment vertical="center"/>
    </xf>
    <xf numFmtId="0" fontId="12" fillId="7" borderId="5" xfId="0" applyFont="1" applyFill="1" applyBorder="1" applyAlignment="1">
      <alignment vertical="center"/>
    </xf>
    <xf numFmtId="0" fontId="12" fillId="7" borderId="16" xfId="0" applyFont="1" applyFill="1" applyBorder="1" applyAlignment="1">
      <alignment vertical="center"/>
    </xf>
    <xf numFmtId="44" fontId="12" fillId="7" borderId="6" xfId="0" applyNumberFormat="1" applyFont="1" applyFill="1" applyBorder="1" applyAlignment="1">
      <alignment vertical="center"/>
    </xf>
    <xf numFmtId="0" fontId="4" fillId="6" borderId="49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2701973001038422"/>
                  <c:y val="-1.06666666666667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A5-487C-9E5D-2A00AFAE1B2A}"/>
                </c:ext>
              </c:extLst>
            </c:dLbl>
            <c:dLbl>
              <c:idx val="1"/>
              <c:layout>
                <c:manualLayout>
                  <c:x val="-0.13233644859813087"/>
                  <c:y val="2.66666666666666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2A5-487C-9E5D-2A00AFAE1B2A}"/>
                </c:ext>
              </c:extLst>
            </c:dLbl>
            <c:dLbl>
              <c:idx val="2"/>
              <c:layout>
                <c:manualLayout>
                  <c:x val="-0.12818276220145386"/>
                  <c:y val="3.20000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A5-487C-9E5D-2A00AFAE1B2A}"/>
                </c:ext>
              </c:extLst>
            </c:dLbl>
            <c:dLbl>
              <c:idx val="3"/>
              <c:layout>
                <c:manualLayout>
                  <c:x val="-0.11156801661474558"/>
                  <c:y val="2.1333333333333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A5-487C-9E5D-2A00AFAE1B2A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022845275181725"/>
                      <c:h val="0.133173333333333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2A5-487C-9E5D-2A00AFAE1B2A}"/>
                </c:ext>
              </c:extLst>
            </c:dLbl>
            <c:dLbl>
              <c:idx val="5"/>
              <c:layout>
                <c:manualLayout>
                  <c:x val="-1.203457044504966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51485269948735"/>
                      <c:h val="0.133173333333333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2A5-487C-9E5D-2A00AFAE1B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Cenários!$B$3:$B$8</c:f>
              <c:strCache>
                <c:ptCount val="6"/>
                <c:pt idx="0">
                  <c:v>1 ano</c:v>
                </c:pt>
                <c:pt idx="1">
                  <c:v>2 anos</c:v>
                </c:pt>
                <c:pt idx="2">
                  <c:v>3 anos</c:v>
                </c:pt>
                <c:pt idx="3">
                  <c:v>5 anos</c:v>
                </c:pt>
                <c:pt idx="4">
                  <c:v>7 anos</c:v>
                </c:pt>
                <c:pt idx="5">
                  <c:v>10 anos</c:v>
                </c:pt>
              </c:strCache>
            </c:strRef>
          </c:cat>
          <c:val>
            <c:numRef>
              <c:f>Cenários!$C$3:$C$8</c:f>
              <c:numCache>
                <c:formatCode>_("R$"* #,##0.00_);_("R$"* \(#,##0.00\);_("R$"* "-"??_);_(@_)</c:formatCode>
                <c:ptCount val="6"/>
                <c:pt idx="0">
                  <c:v>3184.7738173859093</c:v>
                </c:pt>
                <c:pt idx="1">
                  <c:v>6807.715915145398</c:v>
                </c:pt>
                <c:pt idx="2">
                  <c:v>10929.110461930386</c:v>
                </c:pt>
                <c:pt idx="3">
                  <c:v>15617.535656683984</c:v>
                </c:pt>
                <c:pt idx="4">
                  <c:v>33920.271483487923</c:v>
                </c:pt>
                <c:pt idx="5">
                  <c:v>60864.416563700026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87C-9E5D-2A00AFAE1B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6150464"/>
        <c:axId val="1826147104"/>
      </c:lineChart>
      <c:catAx>
        <c:axId val="182615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6147104"/>
        <c:crosses val="autoZero"/>
        <c:auto val="1"/>
        <c:lblAlgn val="ctr"/>
        <c:lblOffset val="100"/>
        <c:noMultiLvlLbl val="0"/>
      </c:catAx>
      <c:valAx>
        <c:axId val="182614710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2615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29527559055118E-2"/>
          <c:y val="5.3333333333333337E-2"/>
          <c:w val="0.90833333333333333"/>
          <c:h val="0.80818645669291334"/>
        </c:manualLayout>
      </c:layout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1.5277559055118111E-2"/>
                  <c:y val="-2.66666666666666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5466666666666666"/>
                      <c:h val="0.1917602099737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FBD-4632-81A5-81B27655FAB5}"/>
                </c:ext>
              </c:extLst>
            </c:dLbl>
            <c:dLbl>
              <c:idx val="1"/>
              <c:layout>
                <c:manualLayout>
                  <c:x val="-0.32108333333333344"/>
                  <c:y val="3.2000000000000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966666666666662"/>
                      <c:h val="0.1917602099737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FBD-4632-81A5-81B27655FAB5}"/>
                </c:ext>
              </c:extLst>
            </c:dLbl>
            <c:dLbl>
              <c:idx val="2"/>
              <c:layout>
                <c:manualLayout>
                  <c:x val="-0.11275"/>
                  <c:y val="5.333333333333333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633333333333344"/>
                      <c:h val="0.1917602099737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FBD-4632-81A5-81B27655FAB5}"/>
                </c:ext>
              </c:extLst>
            </c:dLbl>
            <c:dLbl>
              <c:idx val="3"/>
              <c:layout>
                <c:manualLayout>
                  <c:x val="-0.22372211286089247"/>
                  <c:y val="-1.06666666666666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283333333333331"/>
                      <c:h val="0.1917602099737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FBD-4632-81A5-81B27655FAB5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516666666666668"/>
                      <c:h val="0.1917602099737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FBD-4632-81A5-81B27655FAB5}"/>
                </c:ext>
              </c:extLst>
            </c:dLbl>
            <c:dLbl>
              <c:idx val="5"/>
              <c:layout>
                <c:manualLayout>
                  <c:x val="-1.4391404199475067E-3"/>
                  <c:y val="5.33333333333332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351082677165348"/>
                      <c:h val="0.191760209973753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FBD-4632-81A5-81B27655FA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Cenários!$B$13:$B$18</c:f>
              <c:strCache>
                <c:ptCount val="6"/>
                <c:pt idx="0">
                  <c:v>25 anos</c:v>
                </c:pt>
                <c:pt idx="1">
                  <c:v>30 anos</c:v>
                </c:pt>
                <c:pt idx="2">
                  <c:v>35 anos</c:v>
                </c:pt>
                <c:pt idx="3">
                  <c:v>40 anos</c:v>
                </c:pt>
                <c:pt idx="4">
                  <c:v>45 anos</c:v>
                </c:pt>
                <c:pt idx="5">
                  <c:v>50 anos</c:v>
                </c:pt>
              </c:strCache>
            </c:strRef>
          </c:cat>
          <c:val>
            <c:numRef>
              <c:f>Cenários!$C$13:$C$18</c:f>
              <c:numCache>
                <c:formatCode>_("R$"* #,##0.00_);_("R$"* \(#,##0.00\);_("R$"* "-"??_);_(@_)</c:formatCode>
                <c:ptCount val="6"/>
                <c:pt idx="0">
                  <c:v>557731.58942814532</c:v>
                </c:pt>
                <c:pt idx="1">
                  <c:v>1083476.2025791879</c:v>
                </c:pt>
                <c:pt idx="2">
                  <c:v>2085063.5425064166</c:v>
                </c:pt>
                <c:pt idx="3">
                  <c:v>3993170.9665463422</c:v>
                </c:pt>
                <c:pt idx="4">
                  <c:v>7628274.7628271626</c:v>
                </c:pt>
                <c:pt idx="5">
                  <c:v>14553450.69540545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D-4632-81A5-81B27655FAB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09691744"/>
        <c:axId val="1109692704"/>
      </c:lineChart>
      <c:catAx>
        <c:axId val="110969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9692704"/>
        <c:crosses val="autoZero"/>
        <c:auto val="1"/>
        <c:lblAlgn val="ctr"/>
        <c:lblOffset val="100"/>
        <c:noMultiLvlLbl val="0"/>
      </c:catAx>
      <c:valAx>
        <c:axId val="110969270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0969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Dashboard!$C$22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Dashboard!$B$23:$B$28</c:f>
              <c:strCache>
                <c:ptCount val="6"/>
                <c:pt idx="0">
                  <c:v>Desenvolvimento</c:v>
                </c:pt>
                <c:pt idx="1">
                  <c:v>FOFs</c:v>
                </c:pt>
                <c:pt idx="2">
                  <c:v>Híbridos</c:v>
                </c:pt>
                <c:pt idx="3">
                  <c:v>Hotelarias</c:v>
                </c:pt>
                <c:pt idx="4">
                  <c:v>Papel</c:v>
                </c:pt>
                <c:pt idx="5">
                  <c:v>Tijolo</c:v>
                </c:pt>
              </c:strCache>
            </c:strRef>
          </c:cat>
          <c:val>
            <c:numRef>
              <c:f>Dashboard!$C$23:$C$28</c:f>
              <c:numCache>
                <c:formatCode>0%</c:formatCode>
                <c:ptCount val="6"/>
                <c:pt idx="0">
                  <c:v>0.2</c:v>
                </c:pt>
                <c:pt idx="1">
                  <c:v>0.05</c:v>
                </c:pt>
                <c:pt idx="2">
                  <c:v>0.05</c:v>
                </c:pt>
                <c:pt idx="3">
                  <c:v>0.1</c:v>
                </c:pt>
                <c:pt idx="4">
                  <c:v>0.5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B-4D24-B2C9-AE9A8014A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7</xdr:row>
      <xdr:rowOff>238125</xdr:rowOff>
    </xdr:from>
    <xdr:to>
      <xdr:col>9</xdr:col>
      <xdr:colOff>609599</xdr:colOff>
      <xdr:row>17</xdr:row>
      <xdr:rowOff>9525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F0BCC680-949F-433A-9610-79F96AC3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7</xdr:row>
      <xdr:rowOff>238125</xdr:rowOff>
    </xdr:from>
    <xdr:to>
      <xdr:col>15</xdr:col>
      <xdr:colOff>9525</xdr:colOff>
      <xdr:row>17</xdr:row>
      <xdr:rowOff>9525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A999FFC5-5A00-4D70-A6E2-BD2C44D29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19</xdr:row>
      <xdr:rowOff>238124</xdr:rowOff>
    </xdr:from>
    <xdr:to>
      <xdr:col>15</xdr:col>
      <xdr:colOff>9525</xdr:colOff>
      <xdr:row>28</xdr:row>
      <xdr:rowOff>238124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2E8E1D-77C7-4A00-FA6E-F00FE5A77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3993-2377-48A2-B8D5-E45E20FD825F}">
  <sheetPr>
    <tabColor theme="4" tint="-0.499984740745262"/>
  </sheetPr>
  <dimension ref="A1:P29"/>
  <sheetViews>
    <sheetView workbookViewId="0">
      <selection activeCell="B14" sqref="B14:C14"/>
    </sheetView>
  </sheetViews>
  <sheetFormatPr defaultRowHeight="15" x14ac:dyDescent="0.25"/>
  <cols>
    <col min="1" max="1" width="6.140625" customWidth="1"/>
    <col min="2" max="2" width="35.42578125" customWidth="1"/>
    <col min="3" max="3" width="24.28515625" customWidth="1"/>
    <col min="4" max="4" width="20.140625" customWidth="1"/>
  </cols>
  <sheetData>
    <row r="1" spans="1:16" ht="26.25" customHeight="1" x14ac:dyDescent="0.25">
      <c r="A1" s="54" t="s">
        <v>23</v>
      </c>
      <c r="B1" s="54"/>
      <c r="C1" s="54"/>
      <c r="D1" s="54"/>
      <c r="E1" s="54"/>
      <c r="F1" s="54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28.5" customHeight="1" x14ac:dyDescent="0.25">
      <c r="A2" s="54"/>
      <c r="B2" s="54"/>
      <c r="C2" s="54"/>
      <c r="D2" s="54"/>
      <c r="E2" s="54"/>
      <c r="F2" s="54"/>
      <c r="G2" s="16"/>
      <c r="H2" s="16"/>
      <c r="I2" s="16"/>
      <c r="J2" s="16"/>
      <c r="K2" s="16"/>
      <c r="L2" s="16"/>
      <c r="M2" s="16"/>
      <c r="N2" s="16"/>
      <c r="O2" s="16"/>
      <c r="P2" s="1"/>
    </row>
    <row r="3" spans="1:16" ht="15" customHeight="1" x14ac:dyDescent="0.25">
      <c r="A3" s="54"/>
      <c r="B3" s="54"/>
      <c r="C3" s="54"/>
      <c r="D3" s="54"/>
      <c r="E3" s="54"/>
      <c r="F3" s="54"/>
      <c r="G3" s="16"/>
      <c r="H3" s="16"/>
      <c r="I3" s="16"/>
      <c r="J3" s="16"/>
      <c r="K3" s="16"/>
      <c r="L3" s="16"/>
      <c r="M3" s="16"/>
      <c r="N3" s="16"/>
      <c r="O3" s="16"/>
      <c r="P3" s="1"/>
    </row>
    <row r="4" spans="1:16" ht="15" customHeight="1" x14ac:dyDescent="0.25">
      <c r="A4" s="54"/>
      <c r="B4" s="54"/>
      <c r="C4" s="54"/>
      <c r="D4" s="54"/>
      <c r="E4" s="54"/>
      <c r="F4" s="54"/>
      <c r="G4" s="16"/>
      <c r="H4" s="16"/>
      <c r="I4" s="16"/>
      <c r="J4" s="16"/>
      <c r="K4" s="16"/>
      <c r="L4" s="16"/>
      <c r="M4" s="16"/>
      <c r="N4" s="16"/>
      <c r="O4" s="16"/>
      <c r="P4" s="1"/>
    </row>
    <row r="5" spans="1:16" ht="18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6" ht="18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6" ht="30" customHeight="1" x14ac:dyDescent="0.25">
      <c r="A7" s="17"/>
      <c r="B7" s="39" t="s">
        <v>24</v>
      </c>
      <c r="C7" s="49"/>
      <c r="D7" s="40"/>
      <c r="E7" s="17"/>
      <c r="F7" s="39" t="s">
        <v>26</v>
      </c>
      <c r="G7" s="49"/>
      <c r="H7" s="49"/>
      <c r="I7" s="49"/>
      <c r="J7" s="49"/>
      <c r="K7" s="49"/>
      <c r="L7" s="49"/>
      <c r="M7" s="49"/>
      <c r="N7" s="49"/>
      <c r="O7" s="40"/>
    </row>
    <row r="8" spans="1:16" ht="20.100000000000001" customHeight="1" x14ac:dyDescent="0.25">
      <c r="A8" s="17"/>
      <c r="B8" s="50" t="s">
        <v>25</v>
      </c>
      <c r="C8" s="51"/>
      <c r="D8" s="18">
        <v>2000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pans="1:16" ht="20.100000000000001" customHeight="1" x14ac:dyDescent="0.25">
      <c r="A9" s="17"/>
      <c r="B9" s="43" t="s">
        <v>27</v>
      </c>
      <c r="C9" s="44"/>
      <c r="D9" s="19">
        <f>salario*0.3</f>
        <v>600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spans="1:16" ht="20.100000000000001" customHeight="1" x14ac:dyDescent="0.25">
      <c r="A10" s="17"/>
      <c r="B10" s="52" t="s">
        <v>21</v>
      </c>
      <c r="C10" s="53"/>
      <c r="D10" s="20">
        <v>6.0000000000000001E-3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spans="1:16" ht="20.100000000000001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pans="1:16" ht="30" customHeight="1" x14ac:dyDescent="0.25">
      <c r="A12" s="17"/>
      <c r="B12" s="39" t="s">
        <v>0</v>
      </c>
      <c r="C12" s="49"/>
      <c r="D12" s="4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pans="1:16" ht="20.100000000000001" customHeight="1" x14ac:dyDescent="0.25">
      <c r="A13" s="17"/>
      <c r="B13" s="41" t="s">
        <v>47</v>
      </c>
      <c r="C13" s="42"/>
      <c r="D13" s="18">
        <v>250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6" ht="20.100000000000001" customHeight="1" x14ac:dyDescent="0.25">
      <c r="A14" s="17"/>
      <c r="B14" s="43" t="s">
        <v>22</v>
      </c>
      <c r="C14" s="44"/>
      <c r="D14" s="21">
        <v>5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pans="1:16" ht="20.100000000000001" customHeight="1" x14ac:dyDescent="0.25">
      <c r="A15" s="17"/>
      <c r="B15" s="43" t="s">
        <v>21</v>
      </c>
      <c r="C15" s="44"/>
      <c r="D15" s="24">
        <v>1.0800000000000001E-2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pans="1:16" ht="20.100000000000001" customHeight="1" x14ac:dyDescent="0.25">
      <c r="A16" s="17"/>
      <c r="B16" s="45" t="s">
        <v>1</v>
      </c>
      <c r="C16" s="46"/>
      <c r="D16" s="22">
        <f>FV(taxa_mensal,anos_investimento*12,aporte*-1)</f>
        <v>20951.00483981461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pans="1:15" ht="20.100000000000001" customHeight="1" x14ac:dyDescent="0.25">
      <c r="A17" s="17"/>
      <c r="B17" s="47" t="s">
        <v>2</v>
      </c>
      <c r="C17" s="48"/>
      <c r="D17" s="23">
        <f>patrimonio*taxa_mensal</f>
        <v>226.27085226999779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ht="20.100000000000001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spans="1:15" ht="30" customHeight="1" x14ac:dyDescent="0.25">
      <c r="A19" s="17"/>
      <c r="B19" s="39" t="s">
        <v>28</v>
      </c>
      <c r="C19" s="40"/>
      <c r="D19" s="57" t="s">
        <v>44</v>
      </c>
      <c r="E19" s="17"/>
      <c r="F19" s="76" t="s">
        <v>46</v>
      </c>
      <c r="G19" s="77"/>
      <c r="H19" s="77"/>
      <c r="I19" s="77"/>
      <c r="J19" s="77"/>
      <c r="K19" s="77"/>
      <c r="L19" s="77"/>
      <c r="M19" s="77"/>
      <c r="N19" s="77"/>
      <c r="O19" s="78"/>
    </row>
    <row r="20" spans="1:15" ht="20.100000000000001" customHeight="1" x14ac:dyDescent="0.25">
      <c r="A20" s="17"/>
      <c r="B20" s="41" t="s">
        <v>29</v>
      </c>
      <c r="C20" s="63"/>
      <c r="D20" s="62">
        <f>D13</f>
        <v>250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17"/>
      <c r="B21" s="25"/>
      <c r="C21" s="58"/>
      <c r="D21" s="2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ht="24.95" customHeight="1" x14ac:dyDescent="0.25">
      <c r="A22" s="17"/>
      <c r="B22" s="59" t="s">
        <v>30</v>
      </c>
      <c r="C22" s="60" t="s">
        <v>31</v>
      </c>
      <c r="D22" s="61" t="s">
        <v>32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1:15" ht="20.100000000000001" customHeight="1" x14ac:dyDescent="0.25">
      <c r="A23" s="17"/>
      <c r="B23" s="64" t="s">
        <v>35</v>
      </c>
      <c r="C23" s="65">
        <f>VLOOKUP($D$19&amp;"-"&amp;B23,FII!$B:$E,4,FALSE)</f>
        <v>0.2</v>
      </c>
      <c r="D23" s="66">
        <f>C23*$D$20</f>
        <v>50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spans="1:15" ht="20.100000000000001" customHeight="1" x14ac:dyDescent="0.25">
      <c r="A24" s="17"/>
      <c r="B24" s="67" t="s">
        <v>36</v>
      </c>
      <c r="C24" s="68">
        <f>VLOOKUP($D$19&amp;"-"&amp;B24,FII!$B:$E,4,FALSE)</f>
        <v>0.05</v>
      </c>
      <c r="D24" s="69">
        <f t="shared" ref="D24:D28" si="0">C24*$D$20</f>
        <v>12.5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 ht="20.100000000000001" customHeight="1" x14ac:dyDescent="0.25">
      <c r="B25" s="67" t="s">
        <v>37</v>
      </c>
      <c r="C25" s="68">
        <f>VLOOKUP($D$19&amp;"-"&amp;B25,FII!$B:$E,4,FALSE)</f>
        <v>0.05</v>
      </c>
      <c r="D25" s="69">
        <f t="shared" si="0"/>
        <v>12.5</v>
      </c>
    </row>
    <row r="26" spans="1:15" ht="20.100000000000001" customHeight="1" x14ac:dyDescent="0.25">
      <c r="B26" s="67" t="s">
        <v>45</v>
      </c>
      <c r="C26" s="68">
        <f>VLOOKUP($D$19&amp;"-"&amp;B26,FII!$B:$E,4,FALSE)</f>
        <v>0.1</v>
      </c>
      <c r="D26" s="69">
        <f t="shared" si="0"/>
        <v>25</v>
      </c>
    </row>
    <row r="27" spans="1:15" ht="20.100000000000001" customHeight="1" x14ac:dyDescent="0.25">
      <c r="B27" s="67" t="s">
        <v>33</v>
      </c>
      <c r="C27" s="68">
        <f>VLOOKUP($D$19&amp;"-"&amp;B27,FII!$B:$E,4,FALSE)</f>
        <v>0.5</v>
      </c>
      <c r="D27" s="69">
        <f t="shared" si="0"/>
        <v>125</v>
      </c>
    </row>
    <row r="28" spans="1:15" ht="20.100000000000001" customHeight="1" x14ac:dyDescent="0.25">
      <c r="B28" s="70" t="s">
        <v>34</v>
      </c>
      <c r="C28" s="71">
        <f>VLOOKUP($D$19&amp;"-"&amp;B28,FII!$B:$E,4,FALSE)</f>
        <v>0.1</v>
      </c>
      <c r="D28" s="72">
        <f t="shared" si="0"/>
        <v>25</v>
      </c>
    </row>
    <row r="29" spans="1:15" ht="20.100000000000001" customHeight="1" x14ac:dyDescent="0.25">
      <c r="B29" s="73"/>
      <c r="C29" s="74"/>
      <c r="D29" s="75">
        <f>SUM(D23:D28)</f>
        <v>250</v>
      </c>
    </row>
  </sheetData>
  <mergeCells count="15">
    <mergeCell ref="B12:D12"/>
    <mergeCell ref="A1:F4"/>
    <mergeCell ref="F19:O19"/>
    <mergeCell ref="F7:O7"/>
    <mergeCell ref="B8:C8"/>
    <mergeCell ref="B9:C9"/>
    <mergeCell ref="B10:C10"/>
    <mergeCell ref="B7:D7"/>
    <mergeCell ref="B19:C19"/>
    <mergeCell ref="B20:C20"/>
    <mergeCell ref="B13:C13"/>
    <mergeCell ref="B14:C14"/>
    <mergeCell ref="B15:C15"/>
    <mergeCell ref="B16:C16"/>
    <mergeCell ref="B17:C17"/>
  </mergeCells>
  <dataValidations count="1">
    <dataValidation type="list" allowBlank="1" showInputMessage="1" showErrorMessage="1" sqref="D19" xr:uid="{B3897158-B0FA-448F-8E70-DEBF7C1C84E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5F87-2493-4B2A-A602-C8DA5157ED5D}">
  <sheetPr>
    <tabColor theme="4" tint="0.79998168889431442"/>
  </sheetPr>
  <dimension ref="B2:D18"/>
  <sheetViews>
    <sheetView workbookViewId="0">
      <selection activeCell="A2" sqref="A2:XFD2"/>
    </sheetView>
  </sheetViews>
  <sheetFormatPr defaultRowHeight="15" x14ac:dyDescent="0.25"/>
  <cols>
    <col min="1" max="1" width="6.28515625" customWidth="1"/>
    <col min="2" max="2" width="14.7109375" customWidth="1"/>
    <col min="3" max="3" width="19" customWidth="1"/>
    <col min="4" max="4" width="18.42578125" customWidth="1"/>
  </cols>
  <sheetData>
    <row r="2" spans="2:4" ht="30" customHeight="1" x14ac:dyDescent="0.25">
      <c r="B2" s="55" t="s">
        <v>5</v>
      </c>
      <c r="C2" s="56"/>
      <c r="D2" s="5" t="s">
        <v>20</v>
      </c>
    </row>
    <row r="3" spans="2:4" ht="15.75" x14ac:dyDescent="0.25">
      <c r="B3" s="9" t="s">
        <v>3</v>
      </c>
      <c r="C3" s="2">
        <f>FV(Dashboard!$D$15,1*12,Dashboard!$D$13*-1)</f>
        <v>3184.7738173859093</v>
      </c>
      <c r="D3" s="4">
        <f>C3*Dashboard!$D$10</f>
        <v>19.108642904315456</v>
      </c>
    </row>
    <row r="4" spans="2:4" ht="15.75" x14ac:dyDescent="0.25">
      <c r="B4" s="10" t="s">
        <v>4</v>
      </c>
      <c r="C4" s="2">
        <f>FV(Dashboard!$D$15,2*12,Dashboard!$D$13*-1)</f>
        <v>6807.715915145398</v>
      </c>
      <c r="D4" s="4">
        <f>C4*Dashboard!$D$10</f>
        <v>40.846295490872386</v>
      </c>
    </row>
    <row r="5" spans="2:4" ht="15.75" x14ac:dyDescent="0.25">
      <c r="B5" s="9" t="s">
        <v>6</v>
      </c>
      <c r="C5" s="2">
        <f>FV(Dashboard!$D$15,3*12,Dashboard!$D$13*-1)</f>
        <v>10929.110461930386</v>
      </c>
      <c r="D5" s="4">
        <f>C5*Dashboard!$D$10</f>
        <v>65.574662771582311</v>
      </c>
    </row>
    <row r="6" spans="2:4" ht="15.75" x14ac:dyDescent="0.25">
      <c r="B6" s="11" t="s">
        <v>7</v>
      </c>
      <c r="C6" s="2">
        <f>FV(Dashboard!$D$15,4*12,Dashboard!$D$13*-1)</f>
        <v>15617.535656683984</v>
      </c>
      <c r="D6" s="4">
        <f>C6*Dashboard!$D$10</f>
        <v>93.705213940103903</v>
      </c>
    </row>
    <row r="7" spans="2:4" ht="15.75" x14ac:dyDescent="0.25">
      <c r="B7" s="10" t="s">
        <v>8</v>
      </c>
      <c r="C7" s="2">
        <f>FV(Dashboard!$D$15,7*12,Dashboard!$D$13*-1)</f>
        <v>33920.271483487923</v>
      </c>
      <c r="D7" s="4">
        <f>C7*Dashboard!$D$10</f>
        <v>203.52162890092754</v>
      </c>
    </row>
    <row r="8" spans="2:4" ht="15.75" x14ac:dyDescent="0.25">
      <c r="B8" s="9" t="s">
        <v>9</v>
      </c>
      <c r="C8" s="2">
        <f>FV(Dashboard!$D$15,10*12,Dashboard!$D$13*-1)</f>
        <v>60864.416563700026</v>
      </c>
      <c r="D8" s="4">
        <f>C8*Dashboard!$D$10</f>
        <v>365.18649938220017</v>
      </c>
    </row>
    <row r="9" spans="2:4" ht="15.75" x14ac:dyDescent="0.25">
      <c r="B9" s="12" t="s">
        <v>10</v>
      </c>
      <c r="C9" s="2">
        <f>FV(Dashboard!$D$15,12*12,Dashboard!$D$13*-1)</f>
        <v>85571.95127449659</v>
      </c>
      <c r="D9" s="4">
        <f>C9*Dashboard!$D$10</f>
        <v>513.43170764697959</v>
      </c>
    </row>
    <row r="10" spans="2:4" ht="15.75" x14ac:dyDescent="0.25">
      <c r="B10" s="10" t="s">
        <v>11</v>
      </c>
      <c r="C10" s="2">
        <f>FV(Dashboard!$D$15,15*12,Dashboard!$D$13*-1)</f>
        <v>136902.79503865296</v>
      </c>
      <c r="D10" s="4">
        <f>C10*Dashboard!$D$10</f>
        <v>821.41677023191778</v>
      </c>
    </row>
    <row r="11" spans="2:4" ht="15.75" x14ac:dyDescent="0.25">
      <c r="B11" s="9" t="s">
        <v>12</v>
      </c>
      <c r="C11" s="2">
        <f>FV(Dashboard!$D$15,18*12,Dashboard!$D$13*-1)</f>
        <v>212468.85874403972</v>
      </c>
      <c r="D11" s="4">
        <f>C11*Dashboard!$D$10</f>
        <v>1274.8131524642383</v>
      </c>
    </row>
    <row r="12" spans="2:4" ht="15.75" x14ac:dyDescent="0.25">
      <c r="B12" s="13" t="s">
        <v>13</v>
      </c>
      <c r="C12" s="2">
        <f>FV(Dashboard!$D$15,20*12,Dashboard!$D$13*-1)</f>
        <v>281762.24832463084</v>
      </c>
      <c r="D12" s="4">
        <f>C12*Dashboard!$D$10</f>
        <v>1690.573489947785</v>
      </c>
    </row>
    <row r="13" spans="2:4" ht="15.75" x14ac:dyDescent="0.25">
      <c r="B13" s="13" t="s">
        <v>14</v>
      </c>
      <c r="C13" s="2">
        <f>FV(Dashboard!$D$15,25*12,Dashboard!$D$13*-1)</f>
        <v>557731.58942814532</v>
      </c>
      <c r="D13" s="4">
        <f>C13*Dashboard!$D$10</f>
        <v>3346.3895365688718</v>
      </c>
    </row>
    <row r="14" spans="2:4" ht="15.75" x14ac:dyDescent="0.25">
      <c r="B14" s="13" t="s">
        <v>15</v>
      </c>
      <c r="C14" s="2">
        <f>FV(Dashboard!$D$15,30*12,Dashboard!$D$13*-1)</f>
        <v>1083476.2025791879</v>
      </c>
      <c r="D14" s="4">
        <f>C14*Dashboard!$D$10</f>
        <v>6500.8572154751273</v>
      </c>
    </row>
    <row r="15" spans="2:4" ht="15.75" x14ac:dyDescent="0.25">
      <c r="B15" s="13" t="s">
        <v>16</v>
      </c>
      <c r="C15" s="2">
        <f>FV(Dashboard!$D$15,35*12,Dashboard!$D$13*-1)</f>
        <v>2085063.5425064166</v>
      </c>
      <c r="D15" s="4">
        <f>C15*Dashboard!$D$10</f>
        <v>12510.381255038499</v>
      </c>
    </row>
    <row r="16" spans="2:4" ht="15.75" x14ac:dyDescent="0.25">
      <c r="B16" s="13" t="s">
        <v>17</v>
      </c>
      <c r="C16" s="2">
        <f>FV(Dashboard!$D$15,40*12,Dashboard!$D$13*-1)</f>
        <v>3993170.9665463422</v>
      </c>
      <c r="D16" s="4">
        <f>C16*Dashboard!$D$10</f>
        <v>23959.025799278053</v>
      </c>
    </row>
    <row r="17" spans="2:4" ht="15.75" x14ac:dyDescent="0.25">
      <c r="B17" s="14" t="s">
        <v>18</v>
      </c>
      <c r="C17" s="3">
        <f>FV(Dashboard!$D$15,45*12,Dashboard!$D$13*-1)</f>
        <v>7628274.7628271626</v>
      </c>
      <c r="D17" s="6">
        <f>C17*Dashboard!$D$10</f>
        <v>45769.64857696298</v>
      </c>
    </row>
    <row r="18" spans="2:4" ht="15.75" x14ac:dyDescent="0.25">
      <c r="B18" s="15" t="s">
        <v>19</v>
      </c>
      <c r="C18" s="8">
        <f>FV(Dashboard!$D$15,50*12,Dashboard!$D$13*-1)</f>
        <v>14553450.69540545</v>
      </c>
      <c r="D18" s="7">
        <f>C18*Dashboard!$D$10</f>
        <v>87320.704172432699</v>
      </c>
    </row>
  </sheetData>
  <mergeCells count="1">
    <mergeCell ref="B2:C2"/>
  </mergeCells>
  <phoneticPr fontId="10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437A-3C0B-448C-B856-184D53EDB2F4}">
  <sheetPr>
    <tabColor theme="3" tint="0.89999084444715716"/>
  </sheetPr>
  <dimension ref="B2:E20"/>
  <sheetViews>
    <sheetView tabSelected="1" workbookViewId="0">
      <selection activeCell="G6" sqref="G6"/>
    </sheetView>
  </sheetViews>
  <sheetFormatPr defaultRowHeight="15" x14ac:dyDescent="0.25"/>
  <cols>
    <col min="1" max="1" width="9.140625" customWidth="1"/>
    <col min="2" max="2" width="38.42578125" bestFit="1" customWidth="1"/>
    <col min="3" max="3" width="14.28515625" bestFit="1" customWidth="1"/>
    <col min="4" max="4" width="24.28515625" bestFit="1" customWidth="1"/>
    <col min="5" max="5" width="7.7109375" customWidth="1"/>
  </cols>
  <sheetData>
    <row r="2" spans="2:5" ht="30" customHeight="1" x14ac:dyDescent="0.25">
      <c r="B2" s="79" t="s">
        <v>38</v>
      </c>
      <c r="C2" s="80" t="s">
        <v>39</v>
      </c>
      <c r="D2" s="80" t="s">
        <v>40</v>
      </c>
      <c r="E2" s="81" t="s">
        <v>41</v>
      </c>
    </row>
    <row r="3" spans="2:5" ht="20.100000000000001" customHeight="1" x14ac:dyDescent="0.25">
      <c r="B3" s="30" t="str">
        <f>C3&amp;"-"&amp;D3</f>
        <v>Conservador-Papel</v>
      </c>
      <c r="C3" s="27" t="s">
        <v>42</v>
      </c>
      <c r="D3" s="31" t="s">
        <v>33</v>
      </c>
      <c r="E3" s="32">
        <v>0.3</v>
      </c>
    </row>
    <row r="4" spans="2:5" ht="20.100000000000001" customHeight="1" x14ac:dyDescent="0.25">
      <c r="B4" s="30" t="str">
        <f t="shared" ref="B4:B20" si="0">C4&amp;"-"&amp;D4</f>
        <v>Conservador-Tijolo</v>
      </c>
      <c r="C4" s="27" t="s">
        <v>42</v>
      </c>
      <c r="D4" s="31" t="s">
        <v>34</v>
      </c>
      <c r="E4" s="32">
        <v>0.5</v>
      </c>
    </row>
    <row r="5" spans="2:5" ht="20.100000000000001" customHeight="1" x14ac:dyDescent="0.25">
      <c r="B5" s="30" t="str">
        <f t="shared" si="0"/>
        <v>Conservador-Híbridos</v>
      </c>
      <c r="C5" s="27" t="s">
        <v>42</v>
      </c>
      <c r="D5" s="31" t="s">
        <v>37</v>
      </c>
      <c r="E5" s="32">
        <v>0.1</v>
      </c>
    </row>
    <row r="6" spans="2:5" ht="20.100000000000001" customHeight="1" x14ac:dyDescent="0.25">
      <c r="B6" s="30" t="str">
        <f t="shared" si="0"/>
        <v>Conservador-FOFs</v>
      </c>
      <c r="C6" s="27" t="s">
        <v>42</v>
      </c>
      <c r="D6" s="31" t="s">
        <v>36</v>
      </c>
      <c r="E6" s="32">
        <v>0.1</v>
      </c>
    </row>
    <row r="7" spans="2:5" ht="20.100000000000001" customHeight="1" x14ac:dyDescent="0.25">
      <c r="B7" s="30" t="str">
        <f t="shared" si="0"/>
        <v>Conservador-Desenvolvimento</v>
      </c>
      <c r="C7" s="27" t="s">
        <v>42</v>
      </c>
      <c r="D7" s="31" t="s">
        <v>35</v>
      </c>
      <c r="E7" s="32">
        <v>0</v>
      </c>
    </row>
    <row r="8" spans="2:5" ht="20.100000000000001" customHeight="1" thickBot="1" x14ac:dyDescent="0.3">
      <c r="B8" s="33" t="str">
        <f t="shared" si="0"/>
        <v>Conservador-Hotelarias</v>
      </c>
      <c r="C8" s="28" t="s">
        <v>42</v>
      </c>
      <c r="D8" s="34" t="s">
        <v>45</v>
      </c>
      <c r="E8" s="35">
        <v>0</v>
      </c>
    </row>
    <row r="9" spans="2:5" ht="20.100000000000001" customHeight="1" x14ac:dyDescent="0.25">
      <c r="B9" s="30" t="str">
        <f t="shared" si="0"/>
        <v>Moderado-Papel</v>
      </c>
      <c r="C9" s="27" t="s">
        <v>43</v>
      </c>
      <c r="D9" s="31" t="s">
        <v>33</v>
      </c>
      <c r="E9" s="32">
        <v>0.32</v>
      </c>
    </row>
    <row r="10" spans="2:5" ht="20.100000000000001" customHeight="1" x14ac:dyDescent="0.25">
      <c r="B10" s="30" t="str">
        <f t="shared" si="0"/>
        <v>Moderado-Tijolo</v>
      </c>
      <c r="C10" s="27" t="s">
        <v>43</v>
      </c>
      <c r="D10" s="31" t="s">
        <v>34</v>
      </c>
      <c r="E10" s="32">
        <v>0.35</v>
      </c>
    </row>
    <row r="11" spans="2:5" ht="20.100000000000001" customHeight="1" x14ac:dyDescent="0.25">
      <c r="B11" s="30" t="str">
        <f t="shared" si="0"/>
        <v>Moderado-Híbridos</v>
      </c>
      <c r="C11" s="27" t="s">
        <v>43</v>
      </c>
      <c r="D11" s="31" t="s">
        <v>37</v>
      </c>
      <c r="E11" s="32">
        <v>0.08</v>
      </c>
    </row>
    <row r="12" spans="2:5" ht="20.100000000000001" customHeight="1" x14ac:dyDescent="0.25">
      <c r="B12" s="30" t="str">
        <f t="shared" si="0"/>
        <v>Moderado-FOFs</v>
      </c>
      <c r="C12" s="27" t="s">
        <v>43</v>
      </c>
      <c r="D12" s="31" t="s">
        <v>36</v>
      </c>
      <c r="E12" s="32">
        <v>0.05</v>
      </c>
    </row>
    <row r="13" spans="2:5" ht="20.100000000000001" customHeight="1" x14ac:dyDescent="0.25">
      <c r="B13" s="30" t="str">
        <f t="shared" si="0"/>
        <v>Moderado-Desenvolvimento</v>
      </c>
      <c r="C13" s="27" t="s">
        <v>43</v>
      </c>
      <c r="D13" s="31" t="s">
        <v>35</v>
      </c>
      <c r="E13" s="32">
        <v>0.1</v>
      </c>
    </row>
    <row r="14" spans="2:5" ht="20.100000000000001" customHeight="1" thickBot="1" x14ac:dyDescent="0.3">
      <c r="B14" s="33" t="str">
        <f t="shared" si="0"/>
        <v>Moderado-Hotelarias</v>
      </c>
      <c r="C14" s="28" t="s">
        <v>43</v>
      </c>
      <c r="D14" s="34" t="s">
        <v>45</v>
      </c>
      <c r="E14" s="35">
        <v>0.1</v>
      </c>
    </row>
    <row r="15" spans="2:5" ht="20.100000000000001" customHeight="1" x14ac:dyDescent="0.25">
      <c r="B15" s="30" t="str">
        <f t="shared" si="0"/>
        <v>Agressivo-Papel</v>
      </c>
      <c r="C15" s="27" t="s">
        <v>44</v>
      </c>
      <c r="D15" s="31" t="s">
        <v>33</v>
      </c>
      <c r="E15" s="32">
        <v>0.5</v>
      </c>
    </row>
    <row r="16" spans="2:5" ht="20.100000000000001" customHeight="1" x14ac:dyDescent="0.25">
      <c r="B16" s="30" t="str">
        <f t="shared" si="0"/>
        <v>Agressivo-Tijolo</v>
      </c>
      <c r="C16" s="27" t="s">
        <v>44</v>
      </c>
      <c r="D16" s="31" t="s">
        <v>34</v>
      </c>
      <c r="E16" s="32">
        <v>0.1</v>
      </c>
    </row>
    <row r="17" spans="2:5" ht="20.100000000000001" customHeight="1" x14ac:dyDescent="0.25">
      <c r="B17" s="30" t="str">
        <f t="shared" si="0"/>
        <v>Agressivo-Híbridos</v>
      </c>
      <c r="C17" s="27" t="s">
        <v>44</v>
      </c>
      <c r="D17" s="31" t="s">
        <v>37</v>
      </c>
      <c r="E17" s="32">
        <v>0.05</v>
      </c>
    </row>
    <row r="18" spans="2:5" ht="20.100000000000001" customHeight="1" x14ac:dyDescent="0.25">
      <c r="B18" s="30" t="str">
        <f t="shared" si="0"/>
        <v>Agressivo-FOFs</v>
      </c>
      <c r="C18" s="27" t="s">
        <v>44</v>
      </c>
      <c r="D18" s="31" t="s">
        <v>36</v>
      </c>
      <c r="E18" s="32">
        <v>0.05</v>
      </c>
    </row>
    <row r="19" spans="2:5" ht="20.100000000000001" customHeight="1" x14ac:dyDescent="0.25">
      <c r="B19" s="30" t="str">
        <f t="shared" si="0"/>
        <v>Agressivo-Desenvolvimento</v>
      </c>
      <c r="C19" s="27" t="s">
        <v>44</v>
      </c>
      <c r="D19" s="31" t="s">
        <v>35</v>
      </c>
      <c r="E19" s="32">
        <v>0.2</v>
      </c>
    </row>
    <row r="20" spans="2:5" ht="20.100000000000001" customHeight="1" x14ac:dyDescent="0.25">
      <c r="B20" s="36" t="str">
        <f t="shared" si="0"/>
        <v>Agressivo-Hotelarias</v>
      </c>
      <c r="C20" s="29" t="s">
        <v>44</v>
      </c>
      <c r="D20" s="37" t="s">
        <v>45</v>
      </c>
      <c r="E20" s="3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Dashboard</vt:lpstr>
      <vt:lpstr>Cenários</vt:lpstr>
      <vt:lpstr>FII</vt:lpstr>
      <vt:lpstr>anos_investimento</vt:lpstr>
      <vt:lpstr>aporte</vt:lpstr>
      <vt:lpstr>patrimonio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Rodrigues</dc:creator>
  <cp:lastModifiedBy>Beatriz Rodrigues</cp:lastModifiedBy>
  <dcterms:created xsi:type="dcterms:W3CDTF">2026-01-27T18:02:32Z</dcterms:created>
  <dcterms:modified xsi:type="dcterms:W3CDTF">2026-01-28T00:09:41Z</dcterms:modified>
</cp:coreProperties>
</file>